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Отчеты ГМ\"/>
    </mc:Choice>
  </mc:AlternateContent>
  <xr:revisionPtr revIDLastSave="0" documentId="8_{4FB3C1B1-9156-4D7C-B663-05E0E9BB55AD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📋 Отчёт отдела продаж" sheetId="1" r:id="rId1"/>
    <sheet name="Онлайн " sheetId="3" r:id="rId2"/>
    <sheet name="Инструкция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G9" i="1"/>
  <c r="D8" i="1"/>
  <c r="H8" i="1" l="1"/>
  <c r="H9" i="1"/>
  <c r="E8" i="1"/>
  <c r="F19" i="1"/>
  <c r="E19" i="1"/>
  <c r="D19" i="1"/>
  <c r="C19" i="1"/>
  <c r="B19" i="1"/>
  <c r="H10" i="1"/>
  <c r="E9" i="1"/>
  <c r="E10" i="1" l="1"/>
</calcChain>
</file>

<file path=xl/sharedStrings.xml><?xml version="1.0" encoding="utf-8"?>
<sst xmlns="http://schemas.openxmlformats.org/spreadsheetml/2006/main" count="160" uniqueCount="149">
  <si>
    <t>JANNAT HOTELS &amp; RESORTS  ·  ЕЖЕДНЕВНЫЙ ОТЧЁТ ОТДЕЛА ПРОДАЖ</t>
  </si>
  <si>
    <t>⚠ ЗАПОЛНЯТЬ ЕЖЕДНЕВНО ДО 19:00  ·  Отправлять директору по отелям  ·  Шаблон v1.0</t>
  </si>
  <si>
    <t>Дата:</t>
  </si>
  <si>
    <t>День недели:</t>
  </si>
  <si>
    <t>Руководитель:</t>
  </si>
  <si>
    <t>Менеджеров на работе:</t>
  </si>
  <si>
    <t>А. КПЭ ОТДЕЛА ПРОДАЖ (ФАКТ ДЕНЬ / НАРАСТАЮЩИЙ ИТОГ МЕСЯЦА)</t>
  </si>
  <si>
    <t>Показатель</t>
  </si>
  <si>
    <t>Ед.</t>
  </si>
  <si>
    <t>ПЛАН
(день)</t>
  </si>
  <si>
    <t>ФАКТ
(день)</t>
  </si>
  <si>
    <t>Вып.%
день</t>
  </si>
  <si>
    <t>ПЛАН
(месяц)</t>
  </si>
  <si>
    <t>ФАКТ
(месяц)</t>
  </si>
  <si>
    <t>Вып.%
месяц</t>
  </si>
  <si>
    <t>⚠ Комментарий / Причина отклонения</t>
  </si>
  <si>
    <t>Звонки / исходящие (B2B)</t>
  </si>
  <si>
    <t>шт.</t>
  </si>
  <si>
    <t>Встречи с клиентами</t>
  </si>
  <si>
    <t>сум</t>
  </si>
  <si>
    <t>ИТОГО ВЫРУЧКА ОТДЕЛА ПРОДАЖ</t>
  </si>
  <si>
    <t>Объект</t>
  </si>
  <si>
    <t>ИТОГО</t>
  </si>
  <si>
    <t>В. ЕЖЕДНЕВНЫЙ ОТЧЁТ МЕНЕДЖЕРОВ B2B</t>
  </si>
  <si>
    <t>Менеджер</t>
  </si>
  <si>
    <t>Звонков</t>
  </si>
  <si>
    <t>Встреч</t>
  </si>
  <si>
    <t>Компаний
в работе</t>
  </si>
  <si>
    <t>Новых
контрактов</t>
  </si>
  <si>
    <t>Выручка
(сум)</t>
  </si>
  <si>
    <t>Фокус-
объект</t>
  </si>
  <si>
    <t>Статус / Комментарий</t>
  </si>
  <si>
    <t>Г. ОНЛАЙН-КАНАЛЫ — ЕЖЕДНЕВНЫЙ СРЕЗ</t>
  </si>
  <si>
    <t>Канал</t>
  </si>
  <si>
    <t>Брони
сегодня</t>
  </si>
  <si>
    <t>Ночей</t>
  </si>
  <si>
    <t>Ср. ADR</t>
  </si>
  <si>
    <t>Новые
отзывы</t>
  </si>
  <si>
    <t>Реакция
дана</t>
  </si>
  <si>
    <t>Комментарий</t>
  </si>
  <si>
    <t>Booking.com</t>
  </si>
  <si>
    <t>2ГИС</t>
  </si>
  <si>
    <t>Яндекс Путешествия</t>
  </si>
  <si>
    <t>Сайт jannat.kg</t>
  </si>
  <si>
    <t>Прочие / агрегаторы</t>
  </si>
  <si>
    <t>Д. ГОРЯЧИЕ СДЕЛКИ И ПАЙПЛАЙН</t>
  </si>
  <si>
    <t>Компания / организация</t>
  </si>
  <si>
    <t>Тип (номера/
мероприятие)</t>
  </si>
  <si>
    <t>Период /
дата</t>
  </si>
  <si>
    <t>Кол-во
чел./номеров</t>
  </si>
  <si>
    <t>Сумма
(сум)</t>
  </si>
  <si>
    <t>Стадия
(переговоры/договор/оплата)</t>
  </si>
  <si>
    <t>Следующий шаг</t>
  </si>
  <si>
    <t>Е. ТЕКСТОВЫЙ ОТЧЁТ РУКОВОДИТЕЛЯ ОТДЕЛА ПРОДАЖ (ОБЯЗАТЕЛЬНО)</t>
  </si>
  <si>
    <t>Главный результат дня</t>
  </si>
  <si>
    <t>Главная проблема / барьер</t>
  </si>
  <si>
    <t>Что предпринято</t>
  </si>
  <si>
    <t>Идея / предложение дня</t>
  </si>
  <si>
    <t>ИНСТРУКЦИЯ ПО ЗАПОЛНЕНИЮ ЕЖЕДНЕВНОГО ОТЧЁТА ОТДЕЛА ПРОДАЖ</t>
  </si>
  <si>
    <t>ОБЩИЕ ПРАВИЛА</t>
  </si>
  <si>
    <t>Срок сдачи:</t>
  </si>
  <si>
    <t>Ежедневно до 19:00 — отправить директору по отелям</t>
  </si>
  <si>
    <t>Кто заполняет:</t>
  </si>
  <si>
    <t>Руководитель отдела продаж лично, сводя данные от 4 менеджеров и онлайн-специалиста</t>
  </si>
  <si>
    <t>Формат:</t>
  </si>
  <si>
    <t>Заполнить этот файл и отправить директору в мессенджер или email</t>
  </si>
  <si>
    <t>Язык:</t>
  </si>
  <si>
    <t>Русский</t>
  </si>
  <si>
    <t>РАЗДЕЛ А — КПЭ ОТДЕЛА</t>
  </si>
  <si>
    <t>Звонки / встречи:</t>
  </si>
  <si>
    <t>Считать только реально состоявшиеся, не запланированные</t>
  </si>
  <si>
    <t>Новые контракты:</t>
  </si>
  <si>
    <t>Подписанный или устно согласованный договор с корпоративным клиентом</t>
  </si>
  <si>
    <t>Выручка:</t>
  </si>
  <si>
    <t>Только та, которую реально привлёк отдел продаж (не walk-in)</t>
  </si>
  <si>
    <t>Вып. %:</t>
  </si>
  <si>
    <t>Считается автоматически — не трогать формулы</t>
  </si>
  <si>
    <t>РАЗДЕЛ Б — ОБЪЕКТЫ</t>
  </si>
  <si>
    <t>Загрузка:</t>
  </si>
  <si>
    <t>Перенести из ежедневного отчёта ГМ соответствующего объекта</t>
  </si>
  <si>
    <t>Фокус-объекты:</t>
  </si>
  <si>
    <t>Koi-Tash и Sultan KK — приоритет № 1 до достижения загрузки 50%+</t>
  </si>
  <si>
    <t>Пустые ячейки:</t>
  </si>
  <si>
    <t>Если данных нет — написать «нет» или «0», не оставлять пустым</t>
  </si>
  <si>
    <t>РАЗДЕЛ В — МЕНЕДЖЕРЫ</t>
  </si>
  <si>
    <t>Каждый менеджер:</t>
  </si>
  <si>
    <t>Должен сообщить рук. отдела свои данные до 18:00</t>
  </si>
  <si>
    <t>Онлайн-специалист:</t>
  </si>
  <si>
    <t>Заполняет только колонки «выручка онлайн» и комментарий</t>
  </si>
  <si>
    <t>РАЗДЕЛ Г — ОНЛАЙН</t>
  </si>
  <si>
    <t>Booking.com:</t>
  </si>
  <si>
    <t>Количество новых броней, поступивших сегодня (не будущих заездов)</t>
  </si>
  <si>
    <t>Новые отзывы:</t>
  </si>
  <si>
    <t>Количество отзывов, появившихся сегодня на каждой платформе</t>
  </si>
  <si>
    <t>Реакция:</t>
  </si>
  <si>
    <t>Да/Нет — дана ли реакция на новые отзывы в течение 24 часов</t>
  </si>
  <si>
    <t>РАЗДЕЛ Д — ПАЙПЛАЙН</t>
  </si>
  <si>
    <t>Горячие сделки:</t>
  </si>
  <si>
    <t>Только те, которые с высокой вероятностью закроются на этой неделе</t>
  </si>
  <si>
    <t>Стадия:</t>
  </si>
  <si>
    <t>Переговоры / Договор подписан / Оплата получена</t>
  </si>
  <si>
    <t>РАЗДЕЛ Е — ТЕКСТ</t>
  </si>
  <si>
    <t>ОБЯЗАТЕЛЬНО:</t>
  </si>
  <si>
    <t>Все 6 текстовых блоков должны быть заполнены содержательно</t>
  </si>
  <si>
    <t>Результат дня:</t>
  </si>
  <si>
    <t>Конкретный факт, не «работали активно»</t>
  </si>
  <si>
    <t>Проблема:</t>
  </si>
  <si>
    <t>Конкретный барьер — клиент не берёт трубку / нет ответа от ГМ / и т.д.</t>
  </si>
  <si>
    <t>Требует директора:</t>
  </si>
  <si>
    <t>Только реальные вопросы на эскалацию, не текучка</t>
  </si>
  <si>
    <t>ЦВЕТОВАЯ ИНДИКАЦИЯ</t>
  </si>
  <si>
    <t>🟢 Зелёный:</t>
  </si>
  <si>
    <t>Выполнение плана ≥ 100%</t>
  </si>
  <si>
    <t>🟡 Жёлтый:</t>
  </si>
  <si>
    <t>Выполнение 60–99% или требует внимания</t>
  </si>
  <si>
    <t>🔴 Красный:</t>
  </si>
  <si>
    <t>Выполнение &lt; 60% или критическая ситуация</t>
  </si>
  <si>
    <t>Золотой фон:</t>
  </si>
  <si>
    <t>Итоговые строки — не редактировать вручную, содержат формулы</t>
  </si>
  <si>
    <t xml:space="preserve">Байтиков Баястан </t>
  </si>
  <si>
    <t xml:space="preserve">Тентикеев Эрмек </t>
  </si>
  <si>
    <t xml:space="preserve">Алмазбек у. Медер </t>
  </si>
  <si>
    <t xml:space="preserve">Арзиева Арчагуль (онлайн) </t>
  </si>
  <si>
    <t>Ридженси Бишкек</t>
  </si>
  <si>
    <t xml:space="preserve">Все объекты </t>
  </si>
  <si>
    <t>Все сделки в работе</t>
  </si>
  <si>
    <t xml:space="preserve">Закрытие сделок происходит раз в месяц. </t>
  </si>
  <si>
    <t xml:space="preserve">Запуск таргета на В2В сегмент через аккаунт Хотелс&amp;Резортс. </t>
  </si>
  <si>
    <t>Резорт КТ</t>
  </si>
  <si>
    <t>Прож</t>
  </si>
  <si>
    <t>Главные задачи на завтра</t>
  </si>
  <si>
    <t xml:space="preserve">Эркинова Акылай </t>
  </si>
  <si>
    <t xml:space="preserve">Резорт КТ </t>
  </si>
  <si>
    <t xml:space="preserve">Получения положительной обратной связи </t>
  </si>
  <si>
    <t xml:space="preserve">Разбор организаций по сегментам и глубокое изучение рынка по сотрудничеству. </t>
  </si>
  <si>
    <t xml:space="preserve">Работа над спящими клиентами, работа над сегментом МО. </t>
  </si>
  <si>
    <t xml:space="preserve">Совершение холодных звонков. </t>
  </si>
  <si>
    <t xml:space="preserve">Федерация Каратэ До </t>
  </si>
  <si>
    <t>13-25.09.2010</t>
  </si>
  <si>
    <t xml:space="preserve">30-60 чел </t>
  </si>
  <si>
    <t xml:space="preserve">Работа над спящими клиентами. </t>
  </si>
  <si>
    <t>ИВМИ ЦА</t>
  </si>
  <si>
    <t>Прож + конф</t>
  </si>
  <si>
    <t xml:space="preserve">26-28 июля </t>
  </si>
  <si>
    <t xml:space="preserve">10-15 чел. </t>
  </si>
  <si>
    <t xml:space="preserve">Четверг </t>
  </si>
  <si>
    <t>5 из 5</t>
  </si>
  <si>
    <t xml:space="preserve">Вел переговоры с организатором, обсудили наличие свободных номеров по категориям. Ждем подтверждения. </t>
  </si>
  <si>
    <t xml:space="preserve">Сегодня связывались с гостями, пока все еще ждем подтверждение. По бюджету по словам организатора проходим.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</si>
</sst>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color rgb="FF4A4A4A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9"/>
      <color rgb="FF1A2744"/>
      <name val="Arial"/>
      <family val="2"/>
      <charset val="204"/>
    </font>
    <font>
      <sz val="9"/>
      <color rgb="FF1A2744"/>
      <name val="Arial"/>
      <family val="2"/>
      <charset val="204"/>
    </font>
    <font>
      <b/>
      <sz val="9"/>
      <color rgb="FF4A4A4A"/>
      <name val="Arial"/>
      <family val="2"/>
      <charset val="204"/>
    </font>
    <font>
      <i/>
      <sz val="9"/>
      <color rgb="FF4A4A4A"/>
      <name val="Arial"/>
      <family val="2"/>
      <charset val="204"/>
    </font>
    <font>
      <i/>
      <sz val="9"/>
      <color rgb="FFA82525"/>
      <name val="Arial"/>
      <family val="2"/>
      <charset val="204"/>
    </font>
    <font>
      <b/>
      <sz val="13"/>
      <color rgb="FFFFFFFF"/>
      <name val="Arial"/>
      <family val="2"/>
      <charset val="204"/>
    </font>
    <font>
      <b/>
      <sz val="10"/>
      <color rgb="FFFFD966"/>
      <name val="Arial"/>
      <family val="2"/>
      <charset val="204"/>
    </font>
    <font>
      <b/>
      <sz val="11"/>
      <color rgb="FF1A2744"/>
      <name val="Calibri"/>
      <family val="2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A2744"/>
        <bgColor indexed="64"/>
      </patternFill>
    </fill>
    <fill>
      <patternFill patternType="solid">
        <fgColor rgb="FF2C4263"/>
        <bgColor indexed="64"/>
      </patternFill>
    </fill>
    <fill>
      <patternFill patternType="solid">
        <fgColor rgb="FF34507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9" fontId="6" fillId="5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9" fontId="0" fillId="9" borderId="1" xfId="0" applyNumberFormat="1" applyFill="1" applyBorder="1"/>
    <xf numFmtId="0" fontId="0" fillId="9" borderId="1" xfId="0" applyFill="1" applyBorder="1"/>
    <xf numFmtId="0" fontId="0" fillId="9" borderId="0" xfId="0" applyFill="1"/>
    <xf numFmtId="0" fontId="9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5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1E6B2E"/>
      </font>
      <fill>
        <patternFill patternType="solid">
          <fgColor indexed="64"/>
          <bgColor rgb="FFC6EFCE"/>
        </patternFill>
      </fill>
    </dxf>
    <dxf>
      <font>
        <color rgb="FF856404"/>
      </font>
      <fill>
        <patternFill patternType="solid">
          <fgColor indexed="64"/>
          <bgColor rgb="FFFFF2CC"/>
        </patternFill>
      </fill>
    </dxf>
    <dxf>
      <font>
        <color rgb="FF9C2B2B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2E"/>
      <rgbColor rgb="FF000080"/>
      <rgbColor rgb="FF856404"/>
      <rgbColor rgb="FF800080"/>
      <rgbColor rgb="FF008080"/>
      <rgbColor rgb="FFCCCCCC"/>
      <rgbColor rgb="FF808080"/>
      <rgbColor rgb="FF9999FF"/>
      <rgbColor rgb="FF993366"/>
      <rgbColor rgb="FFFFF8E1"/>
      <rgbColor rgb="FFF5F5F5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8"/>
      <rgbColor rgb="FFFFF3CD"/>
      <rgbColor rgb="FF99CCFF"/>
      <rgbColor rgb="FFFF99CC"/>
      <rgbColor rgb="FFCC99FF"/>
      <rgbColor rgb="FFFDDED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A4A4A"/>
      <rgbColor rgb="FFA82525"/>
      <rgbColor rgb="FF993366"/>
      <rgbColor rgb="FF2D3F6B"/>
      <rgbColor rgb="FF1A27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59F709-9B07-42F2-800C-025732782CE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90b99dc-5dba-43ef-b53d-9d8e5a47d5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5"/>
  <sheetViews>
    <sheetView tabSelected="1" zoomScale="95" zoomScaleNormal="100" workbookViewId="0">
      <pane ySplit="4" topLeftCell="A19" activePane="bottomLeft" state="frozen"/>
      <selection pane="bottomLeft" activeCell="E23" sqref="E23"/>
    </sheetView>
  </sheetViews>
  <sheetFormatPr defaultColWidth="8.6640625" defaultRowHeight="14.25" x14ac:dyDescent="0.45"/>
  <cols>
    <col min="1" max="1" width="24" customWidth="1"/>
    <col min="2" max="2" width="14" customWidth="1"/>
    <col min="3" max="4" width="12" customWidth="1"/>
    <col min="5" max="5" width="14" customWidth="1"/>
    <col min="6" max="6" width="19.1328125" customWidth="1"/>
    <col min="7" max="7" width="16.19921875" customWidth="1"/>
    <col min="8" max="8" width="14" customWidth="1"/>
    <col min="9" max="9" width="12" customWidth="1"/>
    <col min="10" max="10" width="14" customWidth="1"/>
    <col min="11" max="11" width="32" customWidth="1"/>
  </cols>
  <sheetData>
    <row r="1" spans="1:11" ht="36" customHeight="1" x14ac:dyDescent="0.4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1.75" customHeight="1" x14ac:dyDescent="0.4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4" spans="1:11" ht="29.45" customHeight="1" x14ac:dyDescent="0.45">
      <c r="A4" s="1" t="s">
        <v>2</v>
      </c>
      <c r="B4" s="20">
        <v>46219</v>
      </c>
      <c r="C4" s="1" t="s">
        <v>3</v>
      </c>
      <c r="D4" s="2" t="s">
        <v>145</v>
      </c>
      <c r="E4" s="1" t="s">
        <v>4</v>
      </c>
      <c r="F4" s="2" t="s">
        <v>119</v>
      </c>
      <c r="G4" s="1" t="s">
        <v>5</v>
      </c>
      <c r="H4" s="2" t="s">
        <v>146</v>
      </c>
    </row>
    <row r="6" spans="1:11" ht="21.75" customHeight="1" x14ac:dyDescent="0.45">
      <c r="A6" s="34" t="s">
        <v>6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36" customHeight="1" x14ac:dyDescent="0.4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7"/>
      <c r="J7" s="37"/>
      <c r="K7" s="3" t="s">
        <v>15</v>
      </c>
    </row>
    <row r="8" spans="1:11" s="25" customFormat="1" ht="19.5" customHeight="1" x14ac:dyDescent="0.45">
      <c r="A8" s="21" t="s">
        <v>16</v>
      </c>
      <c r="B8" s="22" t="s">
        <v>17</v>
      </c>
      <c r="C8" s="22">
        <v>20</v>
      </c>
      <c r="D8" s="22">
        <f>4+3+4+4</f>
        <v>15</v>
      </c>
      <c r="E8" s="23">
        <f>IFERROR(D8/C8,"")</f>
        <v>0.75</v>
      </c>
      <c r="F8" s="24">
        <v>440</v>
      </c>
      <c r="G8" s="24">
        <f>107+17+11+21</f>
        <v>156</v>
      </c>
      <c r="H8" s="23">
        <f>IFERROR(G8/F8,"")</f>
        <v>0.35454545454545455</v>
      </c>
      <c r="I8" s="38"/>
      <c r="J8" s="38"/>
      <c r="K8" s="21"/>
    </row>
    <row r="9" spans="1:11" s="25" customFormat="1" ht="19.5" customHeight="1" x14ac:dyDescent="0.45">
      <c r="A9" s="21" t="s">
        <v>18</v>
      </c>
      <c r="B9" s="22" t="s">
        <v>17</v>
      </c>
      <c r="C9" s="22">
        <v>3</v>
      </c>
      <c r="D9" s="22">
        <v>0</v>
      </c>
      <c r="E9" s="23">
        <f t="shared" ref="E9" si="0">IFERROR(D9/C9,"")</f>
        <v>0</v>
      </c>
      <c r="F9" s="24">
        <v>60</v>
      </c>
      <c r="G9" s="24">
        <f>10+2+1+2</f>
        <v>15</v>
      </c>
      <c r="H9" s="23">
        <f t="shared" ref="H9" si="1">IFERROR(G9/F9,"")</f>
        <v>0.25</v>
      </c>
      <c r="I9" s="38"/>
      <c r="J9" s="38"/>
      <c r="K9" s="21"/>
    </row>
    <row r="10" spans="1:11" ht="31.8" customHeight="1" x14ac:dyDescent="0.45">
      <c r="A10" s="5" t="s">
        <v>20</v>
      </c>
      <c r="B10" s="6" t="s">
        <v>19</v>
      </c>
      <c r="C10" s="7">
        <v>813161</v>
      </c>
      <c r="D10" s="7"/>
      <c r="E10" s="8">
        <f>IFERROR(D10/C10,"")</f>
        <v>0</v>
      </c>
      <c r="F10" s="7">
        <v>24394821</v>
      </c>
      <c r="G10" s="7">
        <v>6591854</v>
      </c>
      <c r="H10" s="8">
        <f>IFERROR(G10/F10,"")</f>
        <v>0.27021530512562481</v>
      </c>
      <c r="I10" s="39"/>
      <c r="J10" s="39"/>
      <c r="K10" s="5"/>
    </row>
    <row r="12" spans="1:11" ht="21.75" customHeight="1" x14ac:dyDescent="0.45">
      <c r="A12" s="34" t="s">
        <v>23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spans="1:11" ht="36" customHeight="1" x14ac:dyDescent="0.45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7" t="s">
        <v>31</v>
      </c>
      <c r="I13" s="37"/>
      <c r="J13" s="37"/>
      <c r="K13" s="3" t="s">
        <v>31</v>
      </c>
    </row>
    <row r="14" spans="1:11" ht="34.25" customHeight="1" x14ac:dyDescent="0.45">
      <c r="A14" s="10" t="s">
        <v>119</v>
      </c>
      <c r="B14" s="22">
        <v>4</v>
      </c>
      <c r="C14" s="2">
        <v>0</v>
      </c>
      <c r="D14" s="2">
        <v>1</v>
      </c>
      <c r="E14" s="2">
        <v>0</v>
      </c>
      <c r="F14" s="2">
        <v>497000</v>
      </c>
      <c r="G14" s="2" t="s">
        <v>132</v>
      </c>
      <c r="H14" s="32"/>
      <c r="I14" s="32"/>
      <c r="J14" s="32"/>
      <c r="K14" s="4" t="s">
        <v>125</v>
      </c>
    </row>
    <row r="15" spans="1:11" ht="21.75" customHeight="1" x14ac:dyDescent="0.45">
      <c r="A15" s="10" t="s">
        <v>120</v>
      </c>
      <c r="B15" s="22">
        <v>4</v>
      </c>
      <c r="C15" s="2">
        <v>0</v>
      </c>
      <c r="D15" s="2">
        <v>3</v>
      </c>
      <c r="E15" s="2">
        <v>1</v>
      </c>
      <c r="F15" s="2">
        <v>974000</v>
      </c>
      <c r="G15" s="2" t="s">
        <v>132</v>
      </c>
      <c r="H15" s="32"/>
      <c r="I15" s="32"/>
      <c r="J15" s="32"/>
      <c r="K15" s="4" t="s">
        <v>125</v>
      </c>
    </row>
    <row r="16" spans="1:11" ht="28.8" customHeight="1" x14ac:dyDescent="0.45">
      <c r="A16" s="10" t="s">
        <v>121</v>
      </c>
      <c r="B16" s="2">
        <v>4</v>
      </c>
      <c r="C16" s="2">
        <v>1</v>
      </c>
      <c r="D16" s="2">
        <v>5</v>
      </c>
      <c r="E16" s="2">
        <v>0</v>
      </c>
      <c r="F16" s="2">
        <v>324170</v>
      </c>
      <c r="G16" s="2" t="s">
        <v>123</v>
      </c>
      <c r="H16" s="32"/>
      <c r="I16" s="32"/>
      <c r="J16" s="32"/>
      <c r="K16" s="4" t="s">
        <v>125</v>
      </c>
    </row>
    <row r="17" spans="1:11" ht="21.75" customHeight="1" x14ac:dyDescent="0.45">
      <c r="A17" s="10" t="s">
        <v>131</v>
      </c>
      <c r="B17" s="2">
        <v>3</v>
      </c>
      <c r="C17" s="2">
        <v>0</v>
      </c>
      <c r="D17" s="2">
        <v>0</v>
      </c>
      <c r="E17" s="2">
        <v>0</v>
      </c>
      <c r="F17" s="2">
        <v>0</v>
      </c>
      <c r="G17" s="2" t="s">
        <v>123</v>
      </c>
      <c r="H17" s="32"/>
      <c r="I17" s="32"/>
      <c r="J17" s="32"/>
      <c r="K17" s="4" t="s">
        <v>125</v>
      </c>
    </row>
    <row r="18" spans="1:11" ht="27" customHeight="1" x14ac:dyDescent="0.45">
      <c r="A18" s="10" t="s">
        <v>122</v>
      </c>
      <c r="B18" s="2">
        <v>1</v>
      </c>
      <c r="C18" s="2">
        <v>0</v>
      </c>
      <c r="D18" s="2">
        <v>0</v>
      </c>
      <c r="E18" s="2">
        <v>0</v>
      </c>
      <c r="F18" s="2">
        <v>17000</v>
      </c>
      <c r="G18" s="2" t="s">
        <v>124</v>
      </c>
      <c r="H18" s="32"/>
      <c r="I18" s="32"/>
      <c r="J18" s="32"/>
      <c r="K18" s="4" t="s">
        <v>126</v>
      </c>
    </row>
    <row r="19" spans="1:11" ht="21.75" customHeight="1" x14ac:dyDescent="0.45">
      <c r="A19" s="5" t="s">
        <v>22</v>
      </c>
      <c r="B19" s="6">
        <f>SUM(B14:B18)</f>
        <v>16</v>
      </c>
      <c r="C19" s="6">
        <f>SUM(C14:C18)</f>
        <v>1</v>
      </c>
      <c r="D19" s="6">
        <f>SUM(D14:D18)</f>
        <v>9</v>
      </c>
      <c r="E19" s="6">
        <f>SUM(E14:E18)</f>
        <v>1</v>
      </c>
      <c r="F19" s="6">
        <f>SUM(F14:F18)</f>
        <v>1812170</v>
      </c>
      <c r="G19" s="6"/>
      <c r="H19" s="33"/>
      <c r="I19" s="33"/>
      <c r="J19" s="33"/>
      <c r="K19" s="5"/>
    </row>
    <row r="21" spans="1:11" ht="21.75" customHeight="1" x14ac:dyDescent="0.45">
      <c r="A21" s="34" t="s">
        <v>45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</row>
    <row r="22" spans="1:11" ht="36" customHeight="1" x14ac:dyDescent="0.45">
      <c r="A22" s="3" t="s">
        <v>46</v>
      </c>
      <c r="B22" s="3" t="s">
        <v>21</v>
      </c>
      <c r="C22" s="3" t="s">
        <v>47</v>
      </c>
      <c r="D22" s="3" t="s">
        <v>48</v>
      </c>
      <c r="E22" s="3" t="s">
        <v>49</v>
      </c>
      <c r="F22" s="3" t="s">
        <v>50</v>
      </c>
      <c r="G22" s="37" t="s">
        <v>51</v>
      </c>
      <c r="H22" s="37"/>
      <c r="I22" s="37"/>
      <c r="J22" s="37"/>
      <c r="K22" s="3" t="s">
        <v>52</v>
      </c>
    </row>
    <row r="23" spans="1:11" ht="47.45" customHeight="1" x14ac:dyDescent="0.45">
      <c r="A23" s="4" t="s">
        <v>137</v>
      </c>
      <c r="B23" s="2" t="s">
        <v>123</v>
      </c>
      <c r="C23" s="2" t="s">
        <v>129</v>
      </c>
      <c r="D23" s="20" t="s">
        <v>138</v>
      </c>
      <c r="E23" s="2" t="s">
        <v>139</v>
      </c>
      <c r="F23" s="2">
        <v>3000000</v>
      </c>
      <c r="G23" s="32" t="s">
        <v>147</v>
      </c>
      <c r="H23" s="32"/>
      <c r="I23" s="32"/>
      <c r="J23" s="32"/>
      <c r="K23" s="4" t="s">
        <v>133</v>
      </c>
    </row>
    <row r="24" spans="1:11" ht="47.45" customHeight="1" x14ac:dyDescent="0.45">
      <c r="A24" s="4" t="s">
        <v>141</v>
      </c>
      <c r="B24" s="2" t="s">
        <v>128</v>
      </c>
      <c r="C24" s="2" t="s">
        <v>142</v>
      </c>
      <c r="D24" s="20" t="s">
        <v>143</v>
      </c>
      <c r="E24" s="2" t="s">
        <v>144</v>
      </c>
      <c r="F24" s="2">
        <v>415000</v>
      </c>
      <c r="G24" s="28" t="s">
        <v>148</v>
      </c>
      <c r="H24" s="29"/>
      <c r="I24" s="29"/>
      <c r="J24" s="30"/>
      <c r="K24" s="4" t="s">
        <v>133</v>
      </c>
    </row>
    <row r="25" spans="1:11" ht="21.75" customHeight="1" x14ac:dyDescent="0.45">
      <c r="A25" s="34" t="s">
        <v>53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8" customHeight="1" x14ac:dyDescent="0.45">
      <c r="A26" s="27" t="s">
        <v>54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31.5" customHeight="1" x14ac:dyDescent="0.45">
      <c r="A27" s="26" t="s">
        <v>140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1" ht="18" customHeight="1" x14ac:dyDescent="0.45">
      <c r="A28" s="27" t="s">
        <v>55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pans="1:11" ht="31.5" customHeight="1" x14ac:dyDescent="0.45">
      <c r="A29" s="31" t="s">
        <v>135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t="18" customHeight="1" x14ac:dyDescent="0.45">
      <c r="A30" s="27" t="s">
        <v>56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</row>
    <row r="31" spans="1:11" ht="31.5" customHeight="1" x14ac:dyDescent="0.45">
      <c r="A31" s="26" t="s">
        <v>136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1" ht="18" customHeight="1" x14ac:dyDescent="0.45">
      <c r="A32" s="27" t="s">
        <v>130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1:11" ht="31.5" customHeight="1" x14ac:dyDescent="0.45">
      <c r="A33" s="26" t="s">
        <v>134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1:11" ht="18" customHeight="1" x14ac:dyDescent="0.45">
      <c r="A34" s="27" t="s">
        <v>57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</row>
    <row r="35" spans="1:11" ht="31.5" customHeight="1" x14ac:dyDescent="0.45">
      <c r="A35" s="26" t="s">
        <v>127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</sheetData>
  <mergeCells count="30">
    <mergeCell ref="H15:J15"/>
    <mergeCell ref="H16:J16"/>
    <mergeCell ref="H17:J17"/>
    <mergeCell ref="I9:J9"/>
    <mergeCell ref="I10:J10"/>
    <mergeCell ref="A12:K12"/>
    <mergeCell ref="H13:J13"/>
    <mergeCell ref="H14:J14"/>
    <mergeCell ref="A1:K1"/>
    <mergeCell ref="A2:K2"/>
    <mergeCell ref="A6:K6"/>
    <mergeCell ref="I7:J7"/>
    <mergeCell ref="I8:J8"/>
    <mergeCell ref="A27:K27"/>
    <mergeCell ref="A28:K28"/>
    <mergeCell ref="G24:J24"/>
    <mergeCell ref="A29:K29"/>
    <mergeCell ref="H18:J18"/>
    <mergeCell ref="H19:J19"/>
    <mergeCell ref="G23:J23"/>
    <mergeCell ref="A25:K25"/>
    <mergeCell ref="A26:K26"/>
    <mergeCell ref="A21:K21"/>
    <mergeCell ref="G22:J22"/>
    <mergeCell ref="A35:K35"/>
    <mergeCell ref="A30:K30"/>
    <mergeCell ref="A31:K31"/>
    <mergeCell ref="A32:K32"/>
    <mergeCell ref="A33:K33"/>
    <mergeCell ref="A34:K34"/>
  </mergeCells>
  <phoneticPr fontId="14" type="noConversion"/>
  <conditionalFormatting sqref="E8:E10 H8:H10">
    <cfRule type="expression" dxfId="2" priority="7">
      <formula>AND(ISNUMBER(E8),E8&lt;0.6)</formula>
    </cfRule>
  </conditionalFormatting>
  <conditionalFormatting sqref="E8:E10 H8:H10">
    <cfRule type="expression" dxfId="1" priority="8">
      <formula>AND(ISNUMBER(E8),E8&gt;=0.6,E8&lt;1)</formula>
    </cfRule>
  </conditionalFormatting>
  <conditionalFormatting sqref="E8:E10 H8:H10">
    <cfRule type="expression" dxfId="0" priority="9">
      <formula>AND(ISNUMBER(E8),E8&gt;=1)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B8DB-A546-4CA4-9870-C9F57A508267}">
  <dimension ref="A4:K10"/>
  <sheetViews>
    <sheetView workbookViewId="0">
      <selection activeCell="J22" sqref="J22"/>
    </sheetView>
  </sheetViews>
  <sheetFormatPr defaultRowHeight="14.25" x14ac:dyDescent="0.45"/>
  <sheetData>
    <row r="4" spans="1:11" ht="21.75" customHeight="1" x14ac:dyDescent="0.45">
      <c r="A4" s="40" t="s">
        <v>32</v>
      </c>
      <c r="B4" s="41"/>
      <c r="C4" s="41"/>
      <c r="D4" s="41"/>
      <c r="E4" s="41"/>
      <c r="F4" s="41"/>
      <c r="G4" s="41"/>
      <c r="H4" s="41"/>
      <c r="I4" s="41"/>
      <c r="J4" s="41"/>
      <c r="K4" s="42"/>
    </row>
    <row r="5" spans="1:11" ht="36" customHeight="1" x14ac:dyDescent="0.45">
      <c r="A5" s="3" t="s">
        <v>33</v>
      </c>
      <c r="B5" s="3" t="s">
        <v>34</v>
      </c>
      <c r="C5" s="3" t="s">
        <v>35</v>
      </c>
      <c r="D5" s="3" t="s">
        <v>29</v>
      </c>
      <c r="E5" s="3" t="s">
        <v>36</v>
      </c>
      <c r="F5" s="3" t="s">
        <v>37</v>
      </c>
      <c r="G5" s="3" t="s">
        <v>38</v>
      </c>
      <c r="H5" s="43"/>
      <c r="I5" s="44"/>
      <c r="J5" s="45"/>
      <c r="K5" s="3" t="s">
        <v>39</v>
      </c>
    </row>
    <row r="6" spans="1:11" ht="21.75" customHeight="1" x14ac:dyDescent="0.45">
      <c r="A6" s="9" t="s">
        <v>40</v>
      </c>
      <c r="B6" s="2"/>
      <c r="C6" s="2"/>
      <c r="D6" s="2"/>
      <c r="E6" s="2"/>
      <c r="F6" s="2"/>
      <c r="G6" s="2"/>
      <c r="H6" s="28"/>
      <c r="I6" s="29"/>
      <c r="J6" s="30"/>
      <c r="K6" s="4"/>
    </row>
    <row r="7" spans="1:11" ht="21.75" customHeight="1" x14ac:dyDescent="0.45">
      <c r="A7" s="9" t="s">
        <v>41</v>
      </c>
      <c r="B7" s="2"/>
      <c r="C7" s="2"/>
      <c r="D7" s="2"/>
      <c r="E7" s="2"/>
      <c r="F7" s="2"/>
      <c r="G7" s="2"/>
      <c r="H7" s="28"/>
      <c r="I7" s="29"/>
      <c r="J7" s="30"/>
      <c r="K7" s="4"/>
    </row>
    <row r="8" spans="1:11" ht="21.75" customHeight="1" x14ac:dyDescent="0.45">
      <c r="A8" s="9" t="s">
        <v>42</v>
      </c>
      <c r="B8" s="2"/>
      <c r="C8" s="2"/>
      <c r="D8" s="2"/>
      <c r="E8" s="2"/>
      <c r="F8" s="2"/>
      <c r="G8" s="2"/>
      <c r="H8" s="28"/>
      <c r="I8" s="29"/>
      <c r="J8" s="30"/>
      <c r="K8" s="4"/>
    </row>
    <row r="9" spans="1:11" ht="21.75" customHeight="1" x14ac:dyDescent="0.45">
      <c r="A9" s="9" t="s">
        <v>43</v>
      </c>
      <c r="B9" s="2"/>
      <c r="C9" s="2"/>
      <c r="D9" s="2"/>
      <c r="E9" s="2"/>
      <c r="F9" s="2"/>
      <c r="G9" s="2"/>
      <c r="H9" s="28"/>
      <c r="I9" s="29"/>
      <c r="J9" s="30"/>
      <c r="K9" s="4"/>
    </row>
    <row r="10" spans="1:11" ht="21.75" customHeight="1" x14ac:dyDescent="0.45">
      <c r="A10" s="9" t="s">
        <v>44</v>
      </c>
      <c r="B10" s="2"/>
      <c r="C10" s="2"/>
      <c r="D10" s="2"/>
      <c r="E10" s="2"/>
      <c r="F10" s="2"/>
      <c r="G10" s="2"/>
      <c r="H10" s="28"/>
      <c r="I10" s="29"/>
      <c r="J10" s="30"/>
      <c r="K10" s="4"/>
    </row>
  </sheetData>
  <mergeCells count="7">
    <mergeCell ref="H10:J10"/>
    <mergeCell ref="A4:K4"/>
    <mergeCell ref="H5:J5"/>
    <mergeCell ref="H6:J6"/>
    <mergeCell ref="H7:J7"/>
    <mergeCell ref="H8:J8"/>
    <mergeCell ref="H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zoomScaleNormal="100" workbookViewId="0">
      <selection sqref="A1:D1"/>
    </sheetView>
  </sheetViews>
  <sheetFormatPr defaultColWidth="8.6640625" defaultRowHeight="14.25" x14ac:dyDescent="0.45"/>
  <cols>
    <col min="1" max="1" width="4" customWidth="1"/>
    <col min="2" max="2" width="30" customWidth="1"/>
    <col min="3" max="3" width="50" customWidth="1"/>
    <col min="4" max="4" width="20" customWidth="1"/>
  </cols>
  <sheetData>
    <row r="1" spans="1:4" ht="31.5" customHeight="1" x14ac:dyDescent="0.45">
      <c r="A1" s="47" t="s">
        <v>58</v>
      </c>
      <c r="B1" s="47"/>
      <c r="C1" s="47"/>
      <c r="D1" s="47"/>
    </row>
    <row r="3" spans="1:4" ht="21.75" customHeight="1" x14ac:dyDescent="0.45">
      <c r="A3" s="46" t="s">
        <v>59</v>
      </c>
      <c r="B3" s="46"/>
      <c r="C3" s="46"/>
      <c r="D3" s="46"/>
    </row>
    <row r="4" spans="1:4" ht="19.5" customHeight="1" x14ac:dyDescent="0.45">
      <c r="A4" s="4"/>
      <c r="B4" s="11" t="s">
        <v>60</v>
      </c>
      <c r="C4" s="4" t="s">
        <v>61</v>
      </c>
      <c r="D4" s="4"/>
    </row>
    <row r="5" spans="1:4" ht="19.5" customHeight="1" x14ac:dyDescent="0.45">
      <c r="A5" s="4"/>
      <c r="B5" s="11" t="s">
        <v>62</v>
      </c>
      <c r="C5" s="4" t="s">
        <v>63</v>
      </c>
      <c r="D5" s="4"/>
    </row>
    <row r="6" spans="1:4" ht="19.5" customHeight="1" x14ac:dyDescent="0.45">
      <c r="A6" s="4"/>
      <c r="B6" s="11" t="s">
        <v>64</v>
      </c>
      <c r="C6" s="4" t="s">
        <v>65</v>
      </c>
      <c r="D6" s="4"/>
    </row>
    <row r="7" spans="1:4" ht="19.5" customHeight="1" x14ac:dyDescent="0.45">
      <c r="A7" s="4"/>
      <c r="B7" s="11" t="s">
        <v>66</v>
      </c>
      <c r="C7" s="4" t="s">
        <v>67</v>
      </c>
      <c r="D7" s="4"/>
    </row>
    <row r="8" spans="1:4" ht="21.75" customHeight="1" x14ac:dyDescent="0.45">
      <c r="A8" s="46" t="s">
        <v>68</v>
      </c>
      <c r="B8" s="46"/>
      <c r="C8" s="46"/>
      <c r="D8" s="46"/>
    </row>
    <row r="9" spans="1:4" ht="19.5" customHeight="1" x14ac:dyDescent="0.45">
      <c r="A9" s="4"/>
      <c r="B9" s="11" t="s">
        <v>69</v>
      </c>
      <c r="C9" s="4" t="s">
        <v>70</v>
      </c>
      <c r="D9" s="4"/>
    </row>
    <row r="10" spans="1:4" ht="19.5" customHeight="1" x14ac:dyDescent="0.45">
      <c r="A10" s="4"/>
      <c r="B10" s="11" t="s">
        <v>71</v>
      </c>
      <c r="C10" s="4" t="s">
        <v>72</v>
      </c>
      <c r="D10" s="4"/>
    </row>
    <row r="11" spans="1:4" ht="19.5" customHeight="1" x14ac:dyDescent="0.45">
      <c r="A11" s="4"/>
      <c r="B11" s="11" t="s">
        <v>73</v>
      </c>
      <c r="C11" s="4" t="s">
        <v>74</v>
      </c>
      <c r="D11" s="4"/>
    </row>
    <row r="12" spans="1:4" ht="19.5" customHeight="1" x14ac:dyDescent="0.45">
      <c r="A12" s="4"/>
      <c r="B12" s="11" t="s">
        <v>75</v>
      </c>
      <c r="C12" s="4" t="s">
        <v>76</v>
      </c>
      <c r="D12" s="4"/>
    </row>
    <row r="13" spans="1:4" ht="21.75" customHeight="1" x14ac:dyDescent="0.45">
      <c r="A13" s="46" t="s">
        <v>77</v>
      </c>
      <c r="B13" s="46"/>
      <c r="C13" s="46"/>
      <c r="D13" s="46"/>
    </row>
    <row r="14" spans="1:4" ht="19.5" customHeight="1" x14ac:dyDescent="0.45">
      <c r="A14" s="4"/>
      <c r="B14" s="11" t="s">
        <v>78</v>
      </c>
      <c r="C14" s="4" t="s">
        <v>79</v>
      </c>
      <c r="D14" s="4"/>
    </row>
    <row r="15" spans="1:4" ht="19.5" customHeight="1" x14ac:dyDescent="0.45">
      <c r="A15" s="4"/>
      <c r="B15" s="11" t="s">
        <v>80</v>
      </c>
      <c r="C15" s="4" t="s">
        <v>81</v>
      </c>
      <c r="D15" s="4"/>
    </row>
    <row r="16" spans="1:4" ht="19.5" customHeight="1" x14ac:dyDescent="0.45">
      <c r="A16" s="4"/>
      <c r="B16" s="11" t="s">
        <v>82</v>
      </c>
      <c r="C16" s="4" t="s">
        <v>83</v>
      </c>
      <c r="D16" s="4"/>
    </row>
    <row r="17" spans="1:4" ht="21.75" customHeight="1" x14ac:dyDescent="0.45">
      <c r="A17" s="46" t="s">
        <v>84</v>
      </c>
      <c r="B17" s="46"/>
      <c r="C17" s="46"/>
      <c r="D17" s="46"/>
    </row>
    <row r="18" spans="1:4" ht="19.5" customHeight="1" x14ac:dyDescent="0.45">
      <c r="A18" s="4"/>
      <c r="B18" s="11" t="s">
        <v>85</v>
      </c>
      <c r="C18" s="4" t="s">
        <v>86</v>
      </c>
      <c r="D18" s="4"/>
    </row>
    <row r="19" spans="1:4" ht="19.5" customHeight="1" x14ac:dyDescent="0.45">
      <c r="A19" s="4"/>
      <c r="B19" s="11" t="s">
        <v>87</v>
      </c>
      <c r="C19" s="4" t="s">
        <v>88</v>
      </c>
      <c r="D19" s="4"/>
    </row>
    <row r="20" spans="1:4" ht="21.75" customHeight="1" x14ac:dyDescent="0.45">
      <c r="A20" s="46" t="s">
        <v>89</v>
      </c>
      <c r="B20" s="46"/>
      <c r="C20" s="46"/>
      <c r="D20" s="46"/>
    </row>
    <row r="21" spans="1:4" ht="19.5" customHeight="1" x14ac:dyDescent="0.45">
      <c r="A21" s="4"/>
      <c r="B21" s="11" t="s">
        <v>90</v>
      </c>
      <c r="C21" s="4" t="s">
        <v>91</v>
      </c>
      <c r="D21" s="4"/>
    </row>
    <row r="22" spans="1:4" ht="19.5" customHeight="1" x14ac:dyDescent="0.45">
      <c r="A22" s="4"/>
      <c r="B22" s="11" t="s">
        <v>92</v>
      </c>
      <c r="C22" s="4" t="s">
        <v>93</v>
      </c>
      <c r="D22" s="4"/>
    </row>
    <row r="23" spans="1:4" ht="19.5" customHeight="1" x14ac:dyDescent="0.45">
      <c r="A23" s="4"/>
      <c r="B23" s="11" t="s">
        <v>94</v>
      </c>
      <c r="C23" s="4" t="s">
        <v>95</v>
      </c>
      <c r="D23" s="4"/>
    </row>
    <row r="24" spans="1:4" ht="21.75" customHeight="1" x14ac:dyDescent="0.45">
      <c r="A24" s="46" t="s">
        <v>96</v>
      </c>
      <c r="B24" s="46"/>
      <c r="C24" s="46"/>
      <c r="D24" s="46"/>
    </row>
    <row r="25" spans="1:4" ht="19.5" customHeight="1" x14ac:dyDescent="0.45">
      <c r="A25" s="4"/>
      <c r="B25" s="11" t="s">
        <v>97</v>
      </c>
      <c r="C25" s="4" t="s">
        <v>98</v>
      </c>
      <c r="D25" s="4"/>
    </row>
    <row r="26" spans="1:4" ht="19.5" customHeight="1" x14ac:dyDescent="0.45">
      <c r="A26" s="4"/>
      <c r="B26" s="11" t="s">
        <v>99</v>
      </c>
      <c r="C26" s="4" t="s">
        <v>100</v>
      </c>
      <c r="D26" s="4"/>
    </row>
    <row r="27" spans="1:4" ht="21.75" customHeight="1" x14ac:dyDescent="0.45">
      <c r="A27" s="46" t="s">
        <v>101</v>
      </c>
      <c r="B27" s="46"/>
      <c r="C27" s="46"/>
      <c r="D27" s="46"/>
    </row>
    <row r="28" spans="1:4" ht="19.5" customHeight="1" x14ac:dyDescent="0.45">
      <c r="A28" s="4"/>
      <c r="B28" s="11" t="s">
        <v>102</v>
      </c>
      <c r="C28" s="4" t="s">
        <v>103</v>
      </c>
      <c r="D28" s="4"/>
    </row>
    <row r="29" spans="1:4" ht="19.5" customHeight="1" x14ac:dyDescent="0.45">
      <c r="A29" s="4"/>
      <c r="B29" s="11" t="s">
        <v>104</v>
      </c>
      <c r="C29" s="4" t="s">
        <v>105</v>
      </c>
      <c r="D29" s="4"/>
    </row>
    <row r="30" spans="1:4" ht="19.5" customHeight="1" x14ac:dyDescent="0.45">
      <c r="A30" s="4"/>
      <c r="B30" s="11" t="s">
        <v>106</v>
      </c>
      <c r="C30" s="4" t="s">
        <v>107</v>
      </c>
      <c r="D30" s="4"/>
    </row>
    <row r="31" spans="1:4" ht="19.5" customHeight="1" x14ac:dyDescent="0.45">
      <c r="A31" s="4"/>
      <c r="B31" s="11" t="s">
        <v>108</v>
      </c>
      <c r="C31" s="4" t="s">
        <v>109</v>
      </c>
      <c r="D31" s="4"/>
    </row>
    <row r="32" spans="1:4" ht="21.75" customHeight="1" x14ac:dyDescent="0.45">
      <c r="A32" s="46" t="s">
        <v>110</v>
      </c>
      <c r="B32" s="46"/>
      <c r="C32" s="46"/>
      <c r="D32" s="46"/>
    </row>
    <row r="33" spans="1:4" ht="19.5" customHeight="1" x14ac:dyDescent="0.45">
      <c r="A33" s="12"/>
      <c r="B33" s="13" t="s">
        <v>111</v>
      </c>
      <c r="C33" s="12" t="s">
        <v>112</v>
      </c>
      <c r="D33" s="12"/>
    </row>
    <row r="34" spans="1:4" ht="19.5" customHeight="1" x14ac:dyDescent="0.45">
      <c r="A34" s="14"/>
      <c r="B34" s="15" t="s">
        <v>113</v>
      </c>
      <c r="C34" s="14" t="s">
        <v>114</v>
      </c>
      <c r="D34" s="14"/>
    </row>
    <row r="35" spans="1:4" ht="19.5" customHeight="1" x14ac:dyDescent="0.45">
      <c r="A35" s="16"/>
      <c r="B35" s="17" t="s">
        <v>115</v>
      </c>
      <c r="C35" s="16" t="s">
        <v>116</v>
      </c>
      <c r="D35" s="16"/>
    </row>
    <row r="36" spans="1:4" ht="19.5" customHeight="1" x14ac:dyDescent="0.45">
      <c r="A36" s="18"/>
      <c r="B36" s="19" t="s">
        <v>117</v>
      </c>
      <c r="C36" s="18" t="s">
        <v>118</v>
      </c>
      <c r="D36" s="18"/>
    </row>
  </sheetData>
  <mergeCells count="9">
    <mergeCell ref="A20:D20"/>
    <mergeCell ref="A24:D24"/>
    <mergeCell ref="A27:D27"/>
    <mergeCell ref="A32:D32"/>
    <mergeCell ref="A1:D1"/>
    <mergeCell ref="A3:D3"/>
    <mergeCell ref="A8:D8"/>
    <mergeCell ref="A13:D13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📋 Отчёт отдела продаж</vt:lpstr>
      <vt:lpstr>Онлайн </vt:lpstr>
      <vt:lpstr>Инструкция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2026-06-15T18:38:26Z</dcterms:created>
  <dcterms:modified xsi:type="dcterms:W3CDTF">2026-07-17T09:15:46Z</dcterms:modified>
  <dc:language>en-US</dc:language>
</cp:coreProperties>
</file>